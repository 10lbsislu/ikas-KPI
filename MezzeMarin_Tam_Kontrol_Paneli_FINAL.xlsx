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D5AAC052-B359-4A95-B688-1A402132E041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Kanal Performansı" sheetId="3" r:id="rId1"/>
    <sheet name="Aylık Özet" sheetId="2" r:id="rId2"/>
    <sheet name="Ürün Performansı" sheetId="5" r:id="rId3"/>
    <sheet name="Müşteri KPI" sheetId="6" r:id="rId4"/>
    <sheet name="Funnel (GA4)" sheetId="4" r:id="rId5"/>
    <sheet name="Sosyal Medya Takibi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J6" i="4"/>
  <c r="I6" i="4"/>
  <c r="H6" i="4"/>
  <c r="G6" i="4"/>
  <c r="E6" i="6"/>
  <c r="D6" i="5"/>
  <c r="F13" i="3"/>
  <c r="K5" i="4"/>
  <c r="J5" i="4"/>
  <c r="I5" i="4"/>
  <c r="H5" i="4"/>
  <c r="G5" i="4"/>
  <c r="E5" i="6"/>
  <c r="D5" i="5"/>
  <c r="F11" i="3"/>
  <c r="K4" i="4"/>
  <c r="J4" i="4"/>
  <c r="I4" i="4"/>
  <c r="H4" i="4"/>
  <c r="G4" i="4"/>
  <c r="E4" i="6"/>
  <c r="D4" i="5"/>
  <c r="F9" i="3"/>
  <c r="F8" i="3"/>
  <c r="I3" i="4"/>
  <c r="K3" i="4"/>
  <c r="G3" i="4"/>
  <c r="J3" i="4"/>
  <c r="H3" i="4"/>
  <c r="I2" i="4"/>
  <c r="J2" i="4"/>
  <c r="E3" i="6"/>
  <c r="E2" i="6"/>
  <c r="D3" i="5"/>
  <c r="F3" i="2"/>
  <c r="H3" i="2"/>
  <c r="J3" i="2"/>
  <c r="F5" i="3"/>
  <c r="F6" i="3"/>
  <c r="D2" i="5"/>
  <c r="F3" i="3"/>
  <c r="J2" i="2"/>
  <c r="K2" i="4"/>
  <c r="H2" i="4"/>
  <c r="G2" i="4"/>
  <c r="F2" i="3"/>
  <c r="F2" i="2"/>
  <c r="K3" i="2"/>
  <c r="K2" i="2"/>
  <c r="H2" i="2"/>
</calcChain>
</file>

<file path=xl/sharedStrings.xml><?xml version="1.0" encoding="utf-8"?>
<sst xmlns="http://schemas.openxmlformats.org/spreadsheetml/2006/main" count="179" uniqueCount="75">
  <si>
    <t>Ay</t>
  </si>
  <si>
    <t>Kanal</t>
  </si>
  <si>
    <t>Harcama (TL)</t>
  </si>
  <si>
    <t>Brüt Satış (TL)</t>
  </si>
  <si>
    <t>Sipariş (adet)</t>
  </si>
  <si>
    <t>Brüt ROAS</t>
  </si>
  <si>
    <t>Not</t>
  </si>
  <si>
    <t>OCAK</t>
  </si>
  <si>
    <t>Google Ads</t>
  </si>
  <si>
    <t>Search kampanyaları toplamı</t>
  </si>
  <si>
    <t>Meta (Sales)</t>
  </si>
  <si>
    <t>Sadece satış hedefli kampanya</t>
  </si>
  <si>
    <t>Organic</t>
  </si>
  <si>
    <t>Harcama yok; ROAS hesaplanmaz</t>
  </si>
  <si>
    <t>ŞUBAT</t>
  </si>
  <si>
    <t>MART</t>
  </si>
  <si>
    <t>NİSAN</t>
  </si>
  <si>
    <t>MAYIS</t>
  </si>
  <si>
    <t>GA4 Brüt Satış (Toplam Gelir)</t>
  </si>
  <si>
    <t>İKAS Brüt Satış (Gerçek Ciro)</t>
  </si>
  <si>
    <t>İptal (TL)</t>
  </si>
  <si>
    <t>İade (TL)</t>
  </si>
  <si>
    <t>Net Satış (TL)</t>
  </si>
  <si>
    <t>Ortalama Sepet (Net)</t>
  </si>
  <si>
    <t>Toplam Reklam Harcaması (TL)</t>
  </si>
  <si>
    <t>Net ROAS</t>
  </si>
  <si>
    <t>Notlar / Olaylar (kampanya, pop-up vb.)</t>
  </si>
  <si>
    <t>Ocak: ölçüm düzeltmeleri yapıldı; Şubat verileri daha sağlıklı akacak.</t>
  </si>
  <si>
    <t xml:space="preserve"> </t>
  </si>
  <si>
    <t>₺ 625,371.63</t>
  </si>
  <si>
    <t>743,495.03</t>
  </si>
  <si>
    <t>27,536.85</t>
  </si>
  <si>
    <t>Satılan Ürün Adedi</t>
  </si>
  <si>
    <t>Fatura Başına Düşen Ürün (adet)</t>
  </si>
  <si>
    <t>En Çok Satan Ürün</t>
  </si>
  <si>
    <t>Hamsi Fileto Donuk Dökme</t>
  </si>
  <si>
    <t>(GA4 / İKAS raporundan doldur)</t>
  </si>
  <si>
    <t>Deniz Börülcesi 5 Kg.</t>
  </si>
  <si>
    <t>Kalamar Tüp Donuk U/5 Dökme Gigas</t>
  </si>
  <si>
    <t>Uskumru Fileto Donuk-Dökme</t>
  </si>
  <si>
    <t>Marine Uskumru Füme Çiroz 1000 Gr.</t>
  </si>
  <si>
    <t>Toplam Müşteri</t>
  </si>
  <si>
    <t>Yeni Müşteri</t>
  </si>
  <si>
    <t>Tekrar Müşteri</t>
  </si>
  <si>
    <t>Tekrar Oranı</t>
  </si>
  <si>
    <t>DENEME ALIŞVERİŞLERİ DÜŞÜRÜLEREK TEKER TEKER SAYILMIŞTIR.</t>
  </si>
  <si>
    <t>Oturum</t>
  </si>
  <si>
    <t>Ürün Görüntüleme</t>
  </si>
  <si>
    <t>Sepete Ekleme</t>
  </si>
  <si>
    <t>Checkout</t>
  </si>
  <si>
    <t>Satın Alma</t>
  </si>
  <si>
    <t>Sepete Ekleme Oranı</t>
  </si>
  <si>
    <t>Checkout Oranı</t>
  </si>
  <si>
    <t>Satın Alma Oranı</t>
  </si>
  <si>
    <t>Sepet Terk (adet)</t>
  </si>
  <si>
    <t>Checkout Terk (adet)</t>
  </si>
  <si>
    <t>GA4'ten aylık değerleri gir; oranlar otomatik hesaplanır.</t>
  </si>
  <si>
    <t>4875 </t>
  </si>
  <si>
    <t>GA4-ETKİLEŞİM-ETKİNLİKLER ALTINDAN DOLDURULDU</t>
  </si>
  <si>
    <t>ARALIK 2025</t>
  </si>
  <si>
    <t>TOPLAM TAKİPÇİ</t>
  </si>
  <si>
    <t>KAZANILAN TAKİPÇİ</t>
  </si>
  <si>
    <t>GÖRÜNTÜLENME</t>
  </si>
  <si>
    <t>ETKİLEŞİM</t>
  </si>
  <si>
    <t>İNSTAGRAM</t>
  </si>
  <si>
    <t>FACEBOOK</t>
  </si>
  <si>
    <t>Linkedln</t>
  </si>
  <si>
    <t>YOUTUBE</t>
  </si>
  <si>
    <t>9.8 saat</t>
  </si>
  <si>
    <t>2025 yılı</t>
  </si>
  <si>
    <t>837,6 saat</t>
  </si>
  <si>
    <t>OCAK 2026</t>
  </si>
  <si>
    <t>8.6 saat</t>
  </si>
  <si>
    <t xml:space="preserve"> ŞUBAT 2026</t>
  </si>
  <si>
    <t>7,2 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</si>
</sst>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[$₺-41F]#,##0.00"/>
  </numFmts>
  <fonts count="1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202124"/>
      <name val="Calibri"/>
      <scheme val="minor"/>
    </font>
    <font>
      <sz val="11"/>
      <color rgb="FF252C35"/>
      <name val="Twemoji Country Flags"/>
      <charset val="1"/>
    </font>
    <font>
      <sz val="11"/>
      <color theme="1"/>
      <name val="Calibri"/>
      <scheme val="minor"/>
    </font>
    <font>
      <sz val="11"/>
      <color rgb="FF121926"/>
      <name val="Calibri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121926"/>
      <name val="İnherit"/>
      <charset val="1"/>
    </font>
    <font>
      <sz val="11"/>
      <color rgb="FF202124"/>
      <name val="Google Sans"/>
      <charset val="1"/>
    </font>
    <font>
      <sz val="11"/>
      <color rgb="FF202124"/>
      <name val="Roboto"/>
      <charset val="1"/>
    </font>
    <font>
      <sz val="9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rgb="FF000000"/>
      <name val="Calibri"/>
      <charset val="1"/>
    </font>
    <font>
      <sz val="11"/>
      <color theme="1"/>
      <name val="System-Ui"/>
      <charset val="1"/>
    </font>
    <font>
      <sz val="11"/>
      <color rgb="FF3C4043"/>
      <name val="Calibri"/>
      <scheme val="minor"/>
    </font>
    <font>
      <sz val="11"/>
      <color rgb="FF121926"/>
      <name val="Twemoji Country Flag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3" fontId="0" fillId="0" borderId="4" xfId="0" applyNumberFormat="1" applyBorder="1"/>
    <xf numFmtId="0" fontId="0" fillId="0" borderId="4" xfId="0" applyBorder="1" applyAlignment="1">
      <alignment horizontal="right"/>
    </xf>
    <xf numFmtId="17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17" fontId="8" fillId="4" borderId="5" xfId="0" applyNumberFormat="1" applyFont="1" applyFill="1" applyBorder="1"/>
    <xf numFmtId="0" fontId="8" fillId="4" borderId="6" xfId="0" applyFont="1" applyFill="1" applyBorder="1"/>
    <xf numFmtId="0" fontId="8" fillId="4" borderId="7" xfId="0" applyFont="1" applyFill="1" applyBorder="1"/>
    <xf numFmtId="0" fontId="7" fillId="0" borderId="4" xfId="0" applyFont="1" applyBorder="1"/>
    <xf numFmtId="3" fontId="7" fillId="0" borderId="4" xfId="0" applyNumberFormat="1" applyFont="1" applyBorder="1"/>
    <xf numFmtId="8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/>
    </xf>
    <xf numFmtId="3" fontId="5" fillId="0" borderId="0" xfId="0" applyNumberFormat="1" applyFont="1"/>
    <xf numFmtId="3" fontId="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00D6F-F01D-4066-858D-1C301FC225E1}" name="Tablo1" displayName="Tablo1" ref="A1:E5" totalsRowShown="0">
  <autoFilter ref="A1:E5" xr:uid="{79D00D6F-F01D-4066-858D-1C301FC225E1}"/>
  <tableColumns count="5">
    <tableColumn id="1" xr3:uid="{8B19E462-931B-471A-BD8C-A2F251610964}" name="ARALIK 2025"/>
    <tableColumn id="2" xr3:uid="{1D4E91D4-0CF8-4543-ABB5-8CED2CF1CCC4}" name="TOPLAM TAKİPÇİ"/>
    <tableColumn id="3" xr3:uid="{C1703351-D8A5-4942-945D-F8722CE2A452}" name="KAZANILAN TAKİPÇİ"/>
    <tableColumn id="4" xr3:uid="{4D9A14ED-F911-4745-A93C-D0951DBD0C9D}" name="GÖRÜNTÜLENME"/>
    <tableColumn id="5" xr3:uid="{07701E08-9BD8-474B-9376-39A9294EA52C}" name="ETKİLEŞİ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2EF928-0148-4942-8CA1-886EF6EB6C0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91869832-2b42-4791-8806-53f7902eb1a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1" topLeftCell="A7" activePane="bottomLeft" state="frozen"/>
      <selection pane="bottomLeft" activeCell="I14" sqref="I14"/>
    </sheetView>
  </sheetViews>
  <sheetFormatPr defaultRowHeight="15"/>
  <cols>
    <col min="1" max="1" width="14" customWidth="1"/>
    <col min="2" max="2" width="14" bestFit="1" customWidth="1"/>
    <col min="3" max="3" width="14.42578125" customWidth="1"/>
    <col min="4" max="4" width="18" customWidth="1"/>
    <col min="5" max="5" width="16.85546875" customWidth="1"/>
    <col min="6" max="7" width="1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1.25">
      <c r="A2" s="3" t="s">
        <v>7</v>
      </c>
      <c r="B2" s="3" t="s">
        <v>8</v>
      </c>
      <c r="C2" s="3">
        <v>9000</v>
      </c>
      <c r="D2" s="3">
        <v>99000</v>
      </c>
      <c r="E2" s="3">
        <v>6</v>
      </c>
      <c r="F2" s="3">
        <f>D2/C2</f>
        <v>11</v>
      </c>
      <c r="G2" s="1" t="s">
        <v>9</v>
      </c>
    </row>
    <row r="3" spans="1:7" ht="41.25">
      <c r="A3" s="3" t="s">
        <v>7</v>
      </c>
      <c r="B3" s="3" t="s">
        <v>10</v>
      </c>
      <c r="C3" s="3">
        <v>33000</v>
      </c>
      <c r="D3" s="3">
        <v>26645</v>
      </c>
      <c r="E3" s="3">
        <v>11</v>
      </c>
      <c r="F3" s="3">
        <f>D3/C3</f>
        <v>0.80742424242424238</v>
      </c>
      <c r="G3" s="1" t="s">
        <v>11</v>
      </c>
    </row>
    <row r="4" spans="1:7" ht="54.75" customHeight="1">
      <c r="A4" s="3" t="s">
        <v>7</v>
      </c>
      <c r="B4" s="3" t="s">
        <v>12</v>
      </c>
      <c r="C4" s="3">
        <v>0</v>
      </c>
      <c r="D4" s="3">
        <v>107700</v>
      </c>
      <c r="E4" s="3">
        <v>10</v>
      </c>
      <c r="F4" s="3"/>
      <c r="G4" s="1" t="s">
        <v>13</v>
      </c>
    </row>
    <row r="5" spans="1:7" ht="41.25">
      <c r="A5" s="3" t="s">
        <v>14</v>
      </c>
      <c r="B5" s="3" t="s">
        <v>8</v>
      </c>
      <c r="C5" s="3">
        <v>11892</v>
      </c>
      <c r="D5" s="12">
        <v>70913</v>
      </c>
      <c r="E5" s="3">
        <v>8</v>
      </c>
      <c r="F5" s="3">
        <f>D5/C5</f>
        <v>5.9630844265052136</v>
      </c>
      <c r="G5" s="1" t="s">
        <v>9</v>
      </c>
    </row>
    <row r="6" spans="1:7" ht="41.25">
      <c r="A6" s="3" t="s">
        <v>14</v>
      </c>
      <c r="B6" s="3" t="s">
        <v>10</v>
      </c>
      <c r="C6" s="3">
        <v>5371</v>
      </c>
      <c r="D6" s="3">
        <v>9713</v>
      </c>
      <c r="E6" s="3">
        <v>9</v>
      </c>
      <c r="F6" s="3">
        <f>D6/C6</f>
        <v>1.8084155650716813</v>
      </c>
      <c r="G6" s="1" t="s">
        <v>11</v>
      </c>
    </row>
    <row r="7" spans="1:7" ht="41.25">
      <c r="A7" s="3" t="s">
        <v>14</v>
      </c>
      <c r="B7" s="3" t="s">
        <v>12</v>
      </c>
      <c r="C7" s="3">
        <v>0</v>
      </c>
      <c r="D7" s="3">
        <v>80079</v>
      </c>
      <c r="E7" s="3">
        <v>6</v>
      </c>
      <c r="F7" s="3"/>
      <c r="G7" s="1" t="s">
        <v>13</v>
      </c>
    </row>
    <row r="8" spans="1:7" ht="41.25">
      <c r="A8" s="3" t="s">
        <v>15</v>
      </c>
      <c r="B8" s="3" t="s">
        <v>8</v>
      </c>
      <c r="C8" s="3">
        <v>13052</v>
      </c>
      <c r="D8" s="3">
        <v>285731</v>
      </c>
      <c r="E8" s="3">
        <v>18</v>
      </c>
      <c r="F8" s="3">
        <f>D8/C8</f>
        <v>21.891740729390133</v>
      </c>
      <c r="G8" s="1" t="s">
        <v>9</v>
      </c>
    </row>
    <row r="9" spans="1:7" ht="41.25">
      <c r="A9" s="3" t="s">
        <v>15</v>
      </c>
      <c r="B9" s="3" t="s">
        <v>10</v>
      </c>
      <c r="C9" s="3">
        <v>223</v>
      </c>
      <c r="D9" s="3">
        <v>0</v>
      </c>
      <c r="E9" s="3">
        <v>0</v>
      </c>
      <c r="F9" s="3">
        <f>D9/C9</f>
        <v>0</v>
      </c>
      <c r="G9" s="1" t="s">
        <v>11</v>
      </c>
    </row>
    <row r="10" spans="1:7" ht="41.25">
      <c r="A10" s="3" t="s">
        <v>15</v>
      </c>
      <c r="B10" s="3" t="s">
        <v>12</v>
      </c>
      <c r="C10" s="3">
        <v>0</v>
      </c>
      <c r="D10" s="12">
        <v>107158</v>
      </c>
      <c r="E10" s="3">
        <v>2</v>
      </c>
      <c r="F10" s="3"/>
      <c r="G10" s="1" t="s">
        <v>13</v>
      </c>
    </row>
    <row r="11" spans="1:7" ht="45.75">
      <c r="A11" s="3" t="s">
        <v>16</v>
      </c>
      <c r="B11" s="3" t="s">
        <v>8</v>
      </c>
      <c r="C11" s="14">
        <v>10751</v>
      </c>
      <c r="D11" s="12">
        <v>158041</v>
      </c>
      <c r="E11" s="3">
        <v>8</v>
      </c>
      <c r="F11" s="3">
        <f>D11/C11</f>
        <v>14.700120918984281</v>
      </c>
      <c r="G11" s="1" t="s">
        <v>9</v>
      </c>
    </row>
    <row r="12" spans="1:7" ht="45.75">
      <c r="A12" s="3" t="s">
        <v>16</v>
      </c>
      <c r="B12" s="3" t="s">
        <v>12</v>
      </c>
      <c r="C12" s="3">
        <v>0</v>
      </c>
      <c r="D12" s="12">
        <v>279307</v>
      </c>
      <c r="E12" s="3">
        <v>9</v>
      </c>
      <c r="F12" s="3"/>
      <c r="G12" s="1" t="s">
        <v>13</v>
      </c>
    </row>
    <row r="13" spans="1:7" ht="45.75">
      <c r="A13" s="3" t="s">
        <v>17</v>
      </c>
      <c r="B13" s="3" t="s">
        <v>8</v>
      </c>
      <c r="C13" s="40">
        <v>17628.990000000002</v>
      </c>
      <c r="D13" s="38">
        <v>201431</v>
      </c>
      <c r="E13" s="39">
        <v>10</v>
      </c>
      <c r="F13" s="3">
        <f>D13/C13</f>
        <v>11.426122540202245</v>
      </c>
      <c r="G13" s="1" t="s">
        <v>9</v>
      </c>
    </row>
    <row r="14" spans="1:7" ht="45.75">
      <c r="A14" s="3" t="s">
        <v>17</v>
      </c>
      <c r="B14" s="3" t="s">
        <v>12</v>
      </c>
      <c r="C14" s="3">
        <v>0</v>
      </c>
      <c r="D14" s="38">
        <v>361196.13</v>
      </c>
      <c r="E14" s="3">
        <v>5</v>
      </c>
      <c r="F14" s="3"/>
      <c r="G14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topLeftCell="E1" workbookViewId="0">
      <pane ySplit="1" topLeftCell="A2" activePane="bottomLeft" state="frozen"/>
      <selection pane="bottomLeft" activeCell="K7" sqref="K7"/>
      <selection activeCell="E1" sqref="E1"/>
    </sheetView>
  </sheetViews>
  <sheetFormatPr defaultRowHeight="15"/>
  <cols>
    <col min="1" max="1" width="14" bestFit="1" customWidth="1"/>
    <col min="2" max="3" width="34.85546875" bestFit="1" customWidth="1"/>
    <col min="4" max="5" width="14" bestFit="1" customWidth="1"/>
    <col min="6" max="7" width="16.85546875" bestFit="1" customWidth="1"/>
    <col min="8" max="8" width="24" bestFit="1" customWidth="1"/>
    <col min="9" max="9" width="33.5703125" bestFit="1" customWidth="1"/>
    <col min="10" max="10" width="32.140625" bestFit="1" customWidth="1"/>
    <col min="11" max="11" width="14.85546875" customWidth="1"/>
    <col min="12" max="12" width="38" customWidth="1"/>
  </cols>
  <sheetData>
    <row r="1" spans="1:12">
      <c r="A1" s="2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4</v>
      </c>
      <c r="H1" s="2" t="s">
        <v>23</v>
      </c>
      <c r="I1" s="2" t="s">
        <v>24</v>
      </c>
      <c r="J1" s="2" t="s">
        <v>5</v>
      </c>
      <c r="K1" s="2" t="s">
        <v>25</v>
      </c>
      <c r="L1" s="2" t="s">
        <v>26</v>
      </c>
    </row>
    <row r="2" spans="1:12" ht="27.75">
      <c r="A2" s="3" t="s">
        <v>7</v>
      </c>
      <c r="B2" s="29">
        <v>297000</v>
      </c>
      <c r="C2" s="3">
        <v>278000</v>
      </c>
      <c r="D2" s="29">
        <v>12000</v>
      </c>
      <c r="E2" s="29">
        <v>6000</v>
      </c>
      <c r="F2" s="29">
        <f>C2-(D2+E2)</f>
        <v>260000</v>
      </c>
      <c r="G2" s="3">
        <v>26</v>
      </c>
      <c r="H2" s="29">
        <f>F2/G2</f>
        <v>10000</v>
      </c>
      <c r="I2" s="29">
        <v>42000</v>
      </c>
      <c r="J2" s="3">
        <f>C2/I2</f>
        <v>6.6190476190476186</v>
      </c>
      <c r="K2" s="3">
        <f>F2/I2</f>
        <v>6.1904761904761907</v>
      </c>
      <c r="L2" s="1" t="s">
        <v>27</v>
      </c>
    </row>
    <row r="3" spans="1:12">
      <c r="A3" s="3" t="s">
        <v>14</v>
      </c>
      <c r="B3" s="29">
        <v>224061</v>
      </c>
      <c r="C3" s="3">
        <v>205373</v>
      </c>
      <c r="D3" s="29">
        <v>12865</v>
      </c>
      <c r="E3" s="29">
        <v>6000</v>
      </c>
      <c r="F3" s="29">
        <f>C3-(D3+E3)</f>
        <v>186508</v>
      </c>
      <c r="G3" s="3">
        <v>25</v>
      </c>
      <c r="H3" s="29">
        <f>F3/G3</f>
        <v>7460.32</v>
      </c>
      <c r="I3" s="29">
        <v>27892</v>
      </c>
      <c r="J3" s="3">
        <f>C3/I3</f>
        <v>7.3631507242219989</v>
      </c>
      <c r="K3" s="3">
        <f>F3/I3</f>
        <v>6.6867919116592569</v>
      </c>
      <c r="L3" s="1" t="s">
        <v>28</v>
      </c>
    </row>
    <row r="4" spans="1:12" s="15" customFormat="1" ht="24" customHeight="1">
      <c r="A4" s="15" t="s">
        <v>15</v>
      </c>
      <c r="B4" s="23">
        <v>356644</v>
      </c>
      <c r="C4" s="16">
        <v>353598</v>
      </c>
      <c r="D4" s="30">
        <v>3046</v>
      </c>
      <c r="E4" s="31">
        <v>4249</v>
      </c>
      <c r="F4" s="32">
        <v>346303</v>
      </c>
      <c r="G4" s="15">
        <v>20</v>
      </c>
      <c r="H4" s="33">
        <v>17679</v>
      </c>
      <c r="I4" s="32">
        <v>30000</v>
      </c>
      <c r="J4" s="15">
        <v>11.88813333</v>
      </c>
      <c r="K4" s="15">
        <v>11.7866</v>
      </c>
    </row>
    <row r="5" spans="1:12" s="15" customFormat="1" ht="15.75">
      <c r="A5" s="15" t="s">
        <v>16</v>
      </c>
      <c r="B5" s="23" t="s">
        <v>29</v>
      </c>
      <c r="C5" s="23" t="s">
        <v>29</v>
      </c>
      <c r="D5" s="30">
        <v>0</v>
      </c>
      <c r="E5" s="31">
        <v>0</v>
      </c>
      <c r="F5" s="23" t="s">
        <v>29</v>
      </c>
      <c r="G5" s="15">
        <v>29</v>
      </c>
      <c r="H5" s="33">
        <v>21564</v>
      </c>
      <c r="I5" s="32">
        <v>30000</v>
      </c>
      <c r="J5" s="15">
        <v>18.124395669999998</v>
      </c>
      <c r="K5" s="35">
        <v>20.845700000000001</v>
      </c>
    </row>
    <row r="6" spans="1:12">
      <c r="A6" s="15" t="s">
        <v>17</v>
      </c>
      <c r="B6" s="38">
        <v>773800.79</v>
      </c>
      <c r="C6" s="16" t="s">
        <v>30</v>
      </c>
      <c r="D6" s="42">
        <v>30305</v>
      </c>
      <c r="E6" s="15">
        <v>0</v>
      </c>
      <c r="F6" s="15">
        <v>713190</v>
      </c>
      <c r="G6" s="15">
        <v>27</v>
      </c>
      <c r="H6" s="16" t="s">
        <v>31</v>
      </c>
      <c r="I6" s="15">
        <v>17628</v>
      </c>
      <c r="J6" s="41">
        <v>43.896000000000001</v>
      </c>
      <c r="K6">
        <v>42.176900000000003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 activeCell="M5" sqref="M5"/>
    </sheetView>
  </sheetViews>
  <sheetFormatPr defaultRowHeight="15"/>
  <cols>
    <col min="1" max="1" width="14" customWidth="1"/>
    <col min="2" max="2" width="16.85546875" bestFit="1" customWidth="1"/>
    <col min="3" max="3" width="21.5703125" bestFit="1" customWidth="1"/>
    <col min="4" max="4" width="31.140625" bestFit="1" customWidth="1"/>
    <col min="5" max="5" width="38.28515625" customWidth="1"/>
    <col min="6" max="6" width="16.85546875" customWidth="1"/>
  </cols>
  <sheetData>
    <row r="1" spans="1:6">
      <c r="A1" s="2" t="s">
        <v>0</v>
      </c>
      <c r="B1" s="2" t="s">
        <v>4</v>
      </c>
      <c r="C1" s="2" t="s">
        <v>32</v>
      </c>
      <c r="D1" s="2" t="s">
        <v>33</v>
      </c>
      <c r="E1" s="2" t="s">
        <v>34</v>
      </c>
      <c r="F1" s="2" t="s">
        <v>6</v>
      </c>
    </row>
    <row r="2" spans="1:6" ht="41.25">
      <c r="A2" s="3" t="s">
        <v>7</v>
      </c>
      <c r="B2" s="3">
        <v>26</v>
      </c>
      <c r="C2" s="3">
        <v>143</v>
      </c>
      <c r="D2" s="3">
        <f>IF(B2="","",C2/B2)</f>
        <v>5.5</v>
      </c>
      <c r="E2" s="13" t="s">
        <v>35</v>
      </c>
      <c r="F2" s="1" t="s">
        <v>36</v>
      </c>
    </row>
    <row r="3" spans="1:6" ht="41.25">
      <c r="A3" s="3" t="s">
        <v>14</v>
      </c>
      <c r="B3" s="3">
        <v>25</v>
      </c>
      <c r="C3" s="3">
        <v>78</v>
      </c>
      <c r="D3" s="3">
        <f>IF(B3="","",C3/B3)</f>
        <v>3.12</v>
      </c>
      <c r="E3" s="13" t="s">
        <v>37</v>
      </c>
      <c r="F3" s="1" t="s">
        <v>36</v>
      </c>
    </row>
    <row r="4" spans="1:6" ht="41.25">
      <c r="A4" s="3" t="s">
        <v>15</v>
      </c>
      <c r="B4" s="3">
        <v>20</v>
      </c>
      <c r="C4" s="3">
        <v>112</v>
      </c>
      <c r="D4" s="3">
        <f>IF(B4="","",C4/B4)</f>
        <v>5.6</v>
      </c>
      <c r="E4" s="24" t="s">
        <v>38</v>
      </c>
      <c r="F4" s="1" t="s">
        <v>36</v>
      </c>
    </row>
    <row r="5" spans="1:6" ht="44.25" customHeight="1">
      <c r="A5" s="3" t="s">
        <v>16</v>
      </c>
      <c r="B5" s="3">
        <v>29</v>
      </c>
      <c r="C5" s="3">
        <v>199</v>
      </c>
      <c r="D5" s="3">
        <f>IF(B5="","",C5/B5)</f>
        <v>6.8620689655172411</v>
      </c>
      <c r="E5" s="24" t="s">
        <v>39</v>
      </c>
      <c r="F5" s="1" t="s">
        <v>36</v>
      </c>
    </row>
    <row r="6" spans="1:6" ht="45.75">
      <c r="A6" s="3" t="s">
        <v>17</v>
      </c>
      <c r="B6" s="3">
        <v>27</v>
      </c>
      <c r="C6" s="3">
        <v>166</v>
      </c>
      <c r="D6" s="3">
        <f>IF(B6="","",C6/B6)</f>
        <v>6.1481481481481479</v>
      </c>
      <c r="E6" s="43" t="s">
        <v>40</v>
      </c>
      <c r="F6" s="1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pane ySplit="1" topLeftCell="A2" activePane="bottomLeft" state="frozen"/>
      <selection pane="bottomLeft" activeCell="F7" sqref="F7"/>
    </sheetView>
  </sheetViews>
  <sheetFormatPr defaultRowHeight="15"/>
  <cols>
    <col min="1" max="1" width="14" customWidth="1"/>
    <col min="2" max="2" width="16.85546875" bestFit="1" customWidth="1"/>
    <col min="3" max="3" width="14.42578125" bestFit="1" customWidth="1"/>
    <col min="4" max="4" width="16.85546875" customWidth="1"/>
    <col min="5" max="5" width="14.42578125" bestFit="1" customWidth="1"/>
    <col min="6" max="6" width="75.5703125" customWidth="1"/>
  </cols>
  <sheetData>
    <row r="1" spans="1:6">
      <c r="A1" s="2" t="s">
        <v>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6</v>
      </c>
    </row>
    <row r="2" spans="1:6" ht="48.75" customHeight="1">
      <c r="A2" s="3" t="s">
        <v>7</v>
      </c>
      <c r="B2" s="3">
        <v>26</v>
      </c>
      <c r="C2" s="3">
        <v>19</v>
      </c>
      <c r="D2" s="3">
        <v>7</v>
      </c>
      <c r="E2" s="3">
        <f>IF(B2="","",D2/B2)</f>
        <v>0.26923076923076922</v>
      </c>
      <c r="F2" s="3" t="s">
        <v>45</v>
      </c>
    </row>
    <row r="3" spans="1:6" ht="48.75" customHeight="1">
      <c r="A3" s="25" t="s">
        <v>14</v>
      </c>
      <c r="B3" s="25">
        <v>25</v>
      </c>
      <c r="C3" s="25">
        <v>17</v>
      </c>
      <c r="D3" s="25">
        <v>8</v>
      </c>
      <c r="E3" s="25">
        <f>IF(B3="","",D3/B3)</f>
        <v>0.32</v>
      </c>
      <c r="F3" s="25"/>
    </row>
    <row r="4" spans="1:6" ht="39.75" customHeight="1">
      <c r="A4" s="25" t="s">
        <v>15</v>
      </c>
      <c r="B4" s="25">
        <v>20</v>
      </c>
      <c r="C4" s="25">
        <v>14</v>
      </c>
      <c r="D4" s="25">
        <v>6</v>
      </c>
      <c r="E4" s="25">
        <f>IF(B4="","",D4/B4)</f>
        <v>0.3</v>
      </c>
      <c r="F4" s="25"/>
    </row>
    <row r="5" spans="1:6" ht="45.75" customHeight="1">
      <c r="A5" s="25" t="s">
        <v>16</v>
      </c>
      <c r="B5" s="25">
        <v>29</v>
      </c>
      <c r="C5" s="34">
        <v>3</v>
      </c>
      <c r="D5" s="25">
        <v>26</v>
      </c>
      <c r="E5" s="25">
        <f>IF(B5="","",D5/B5)</f>
        <v>0.89655172413793105</v>
      </c>
      <c r="F5" s="25"/>
    </row>
    <row r="6" spans="1:6" ht="41.25" customHeight="1">
      <c r="A6" s="25" t="s">
        <v>17</v>
      </c>
      <c r="B6" s="25">
        <v>24</v>
      </c>
      <c r="C6" s="34">
        <v>12</v>
      </c>
      <c r="D6" s="25">
        <v>12</v>
      </c>
      <c r="E6" s="25">
        <f>IF(B6="","",D6/B6)</f>
        <v>0.5</v>
      </c>
      <c r="F6" s="2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topLeftCell="G1" workbookViewId="0">
      <pane ySplit="1" topLeftCell="A2" activePane="bottomLeft" state="frozen"/>
      <selection pane="bottomLeft" activeCell="E9" sqref="E9"/>
      <selection activeCell="G1" sqref="G1"/>
    </sheetView>
  </sheetViews>
  <sheetFormatPr defaultRowHeight="15"/>
  <cols>
    <col min="1" max="1" width="14" customWidth="1"/>
    <col min="2" max="2" width="14" bestFit="1" customWidth="1"/>
    <col min="3" max="3" width="19.140625" bestFit="1" customWidth="1"/>
    <col min="4" max="4" width="15.5703125" bestFit="1" customWidth="1"/>
    <col min="5" max="6" width="14" bestFit="1" customWidth="1"/>
    <col min="7" max="7" width="22.85546875" bestFit="1" customWidth="1"/>
    <col min="8" max="8" width="16.85546875" customWidth="1"/>
    <col min="9" max="9" width="19.140625" customWidth="1"/>
    <col min="10" max="10" width="20.42578125" customWidth="1"/>
    <col min="11" max="11" width="24" customWidth="1"/>
    <col min="12" max="12" width="14" customWidth="1"/>
    <col min="13" max="13" width="38" customWidth="1"/>
  </cols>
  <sheetData>
    <row r="1" spans="1:13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6</v>
      </c>
    </row>
    <row r="2" spans="1:13" ht="68.25">
      <c r="A2" s="3" t="s">
        <v>7</v>
      </c>
      <c r="B2" s="3">
        <v>9535</v>
      </c>
      <c r="C2" s="3">
        <v>10226</v>
      </c>
      <c r="D2" s="3">
        <v>1498</v>
      </c>
      <c r="E2" s="3">
        <v>364</v>
      </c>
      <c r="F2" s="3">
        <v>26</v>
      </c>
      <c r="G2" s="3">
        <f>IF(B2="","",D2/B2)</f>
        <v>0.15710540115364446</v>
      </c>
      <c r="H2" s="3">
        <f>IF(D2="","",E2/D2)</f>
        <v>0.24299065420560748</v>
      </c>
      <c r="I2" s="3">
        <f>IF(E2="","",F2/E2)</f>
        <v>7.1428571428571425E-2</v>
      </c>
      <c r="J2" s="3">
        <f>IF(D2="","",D2-F2)</f>
        <v>1472</v>
      </c>
      <c r="K2" s="3">
        <f>IF(E2="","",E2-F2)</f>
        <v>338</v>
      </c>
      <c r="L2" s="1" t="s">
        <v>56</v>
      </c>
    </row>
    <row r="3" spans="1:13" ht="68.25">
      <c r="A3" s="3" t="s">
        <v>14</v>
      </c>
      <c r="B3" s="3">
        <v>7536</v>
      </c>
      <c r="C3" s="14">
        <v>7670</v>
      </c>
      <c r="D3" s="3">
        <v>1681</v>
      </c>
      <c r="E3" s="3">
        <v>287</v>
      </c>
      <c r="F3" s="3">
        <v>25</v>
      </c>
      <c r="G3" s="3">
        <f>IF(B3="","",D3/B3)</f>
        <v>0.22306263269639065</v>
      </c>
      <c r="H3" s="3">
        <f>IF(D3="","",E3/D3)</f>
        <v>0.17073170731707318</v>
      </c>
      <c r="I3" s="3">
        <f>IF(E3="","",F3/E3)</f>
        <v>8.7108013937282236E-2</v>
      </c>
      <c r="J3" s="3">
        <f>IF(D3="","",D3-F3)</f>
        <v>1656</v>
      </c>
      <c r="K3" s="3">
        <f>IF(E3="","",E3-F3)</f>
        <v>262</v>
      </c>
      <c r="L3" s="1" t="s">
        <v>56</v>
      </c>
    </row>
    <row r="4" spans="1:13" ht="68.25">
      <c r="A4" s="3" t="s">
        <v>15</v>
      </c>
      <c r="B4" s="26">
        <v>5661</v>
      </c>
      <c r="C4" s="27" t="s">
        <v>57</v>
      </c>
      <c r="D4" s="27">
        <v>1095</v>
      </c>
      <c r="E4" s="27">
        <v>116</v>
      </c>
      <c r="F4" s="3">
        <v>20</v>
      </c>
      <c r="G4" s="3">
        <f>IF(B4="","",D4/B4)</f>
        <v>0.19342872284048754</v>
      </c>
      <c r="H4" s="3">
        <f>IF(D4="","",E4/D4)</f>
        <v>0.10593607305936073</v>
      </c>
      <c r="I4" s="3">
        <f>IF(E4="","",F4/E4)</f>
        <v>0.17241379310344829</v>
      </c>
      <c r="J4" s="3">
        <f>IF(D4="","",D4-F4)</f>
        <v>1075</v>
      </c>
      <c r="K4" s="3">
        <f>IF(E4="","",E4-F4)</f>
        <v>96</v>
      </c>
      <c r="L4" s="1" t="s">
        <v>56</v>
      </c>
      <c r="M4" s="28" t="s">
        <v>58</v>
      </c>
    </row>
    <row r="5" spans="1:13" ht="76.5">
      <c r="A5" s="3" t="s">
        <v>16</v>
      </c>
      <c r="B5" s="37">
        <v>4569</v>
      </c>
      <c r="C5" s="36">
        <v>5527</v>
      </c>
      <c r="D5" s="27">
        <v>653</v>
      </c>
      <c r="E5" s="27">
        <v>143</v>
      </c>
      <c r="F5" s="3">
        <v>29</v>
      </c>
      <c r="G5" s="3">
        <f>IF(B5="","",D5/B5)</f>
        <v>0.14291967607791639</v>
      </c>
      <c r="H5" s="3">
        <f>IF(D5="","",E5/D5)</f>
        <v>0.21898928024502298</v>
      </c>
      <c r="I5" s="3">
        <f>IF(E5="","",F5/E5)</f>
        <v>0.20279720279720279</v>
      </c>
      <c r="J5" s="3">
        <f>IF(D5="","",D5-F5)</f>
        <v>624</v>
      </c>
      <c r="K5" s="3">
        <f>IF(E5="","",E5-F5)</f>
        <v>114</v>
      </c>
      <c r="L5" s="1" t="s">
        <v>56</v>
      </c>
      <c r="M5" s="28" t="s">
        <v>58</v>
      </c>
    </row>
    <row r="6" spans="1:13" ht="76.5">
      <c r="A6" s="3" t="s">
        <v>17</v>
      </c>
      <c r="B6" s="44">
        <v>7462</v>
      </c>
      <c r="C6" s="12">
        <v>6787</v>
      </c>
      <c r="D6" s="12">
        <v>2093</v>
      </c>
      <c r="E6" s="12">
        <v>242</v>
      </c>
      <c r="F6" s="3">
        <v>27</v>
      </c>
      <c r="G6" s="3">
        <f>IF(B6="","",D6/B6)</f>
        <v>0.28048780487804881</v>
      </c>
      <c r="H6" s="3">
        <f>IF(D6="","",E6/D6)</f>
        <v>0.11562350692785475</v>
      </c>
      <c r="I6" s="3">
        <f>IF(E6="","",F6/E6)</f>
        <v>0.1115702479338843</v>
      </c>
      <c r="J6" s="3">
        <f>IF(D6="","",D6-F6)</f>
        <v>2066</v>
      </c>
      <c r="K6" s="3">
        <f>IF(E6="","",E6-F6)</f>
        <v>215</v>
      </c>
      <c r="L6" s="1" t="s">
        <v>56</v>
      </c>
      <c r="M6" s="28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1932-39D2-46CC-A083-2F671CF028D2}">
  <dimension ref="A1:F38"/>
  <sheetViews>
    <sheetView topLeftCell="A18" workbookViewId="0">
      <selection activeCell="G48" sqref="A41:G48"/>
    </sheetView>
  </sheetViews>
  <sheetFormatPr defaultRowHeight="15"/>
  <cols>
    <col min="1" max="1" width="22.28515625" customWidth="1"/>
    <col min="2" max="2" width="19.140625" customWidth="1"/>
    <col min="3" max="3" width="24.7109375" customWidth="1"/>
    <col min="4" max="4" width="27.7109375" customWidth="1"/>
    <col min="5" max="5" width="19.85546875" customWidth="1"/>
    <col min="6" max="6" width="9.7109375" bestFit="1" customWidth="1"/>
  </cols>
  <sheetData>
    <row r="1" spans="1:5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>
      <c r="A2" t="s">
        <v>64</v>
      </c>
      <c r="B2">
        <v>6077</v>
      </c>
      <c r="C2">
        <v>568</v>
      </c>
      <c r="D2">
        <v>306700</v>
      </c>
      <c r="E2">
        <v>1100</v>
      </c>
    </row>
    <row r="3" spans="1:5">
      <c r="A3" t="s">
        <v>65</v>
      </c>
      <c r="B3">
        <v>500</v>
      </c>
      <c r="C3">
        <v>1</v>
      </c>
      <c r="D3">
        <v>345100</v>
      </c>
      <c r="E3">
        <v>139</v>
      </c>
    </row>
    <row r="4" spans="1:5">
      <c r="A4" t="s">
        <v>66</v>
      </c>
      <c r="B4">
        <v>814</v>
      </c>
      <c r="C4">
        <v>2</v>
      </c>
      <c r="D4">
        <v>1706</v>
      </c>
      <c r="E4">
        <v>60</v>
      </c>
    </row>
    <row r="5" spans="1:5">
      <c r="A5" t="s">
        <v>67</v>
      </c>
      <c r="B5">
        <v>317</v>
      </c>
      <c r="C5">
        <v>3</v>
      </c>
      <c r="D5">
        <v>720</v>
      </c>
      <c r="E5" s="4" t="s">
        <v>68</v>
      </c>
    </row>
    <row r="8" spans="1:5">
      <c r="A8" s="5" t="s">
        <v>69</v>
      </c>
      <c r="B8" s="6" t="s">
        <v>60</v>
      </c>
      <c r="C8" s="6" t="s">
        <v>61</v>
      </c>
      <c r="D8" s="6" t="s">
        <v>62</v>
      </c>
      <c r="E8" s="7" t="s">
        <v>63</v>
      </c>
    </row>
    <row r="9" spans="1:5">
      <c r="A9" s="8" t="s">
        <v>64</v>
      </c>
      <c r="B9" s="8">
        <v>6077</v>
      </c>
      <c r="C9" s="8">
        <v>2844</v>
      </c>
      <c r="D9" s="8">
        <v>747593</v>
      </c>
      <c r="E9" s="8">
        <v>3697</v>
      </c>
    </row>
    <row r="10" spans="1:5">
      <c r="A10" s="8" t="s">
        <v>65</v>
      </c>
      <c r="B10" s="8">
        <v>500</v>
      </c>
      <c r="C10" s="8">
        <v>164</v>
      </c>
      <c r="D10" s="8">
        <v>5132268</v>
      </c>
      <c r="E10" s="8">
        <v>1829</v>
      </c>
    </row>
    <row r="11" spans="1:5">
      <c r="A11" s="8" t="s">
        <v>66</v>
      </c>
      <c r="B11" s="8">
        <v>814</v>
      </c>
      <c r="C11" s="8">
        <v>52</v>
      </c>
      <c r="D11" s="9">
        <v>22730</v>
      </c>
      <c r="E11" s="8">
        <v>943</v>
      </c>
    </row>
    <row r="12" spans="1:5">
      <c r="A12" s="8" t="s">
        <v>67</v>
      </c>
      <c r="B12" s="8">
        <v>317</v>
      </c>
      <c r="C12" s="8">
        <v>283</v>
      </c>
      <c r="D12" s="8">
        <v>275819</v>
      </c>
      <c r="E12" s="10" t="s">
        <v>70</v>
      </c>
    </row>
    <row r="17" spans="1:5">
      <c r="A17" s="5" t="s">
        <v>71</v>
      </c>
      <c r="B17" s="6" t="s">
        <v>60</v>
      </c>
      <c r="C17" s="6" t="s">
        <v>61</v>
      </c>
      <c r="D17" s="6" t="s">
        <v>62</v>
      </c>
      <c r="E17" s="7" t="s">
        <v>63</v>
      </c>
    </row>
    <row r="18" spans="1:5">
      <c r="A18" s="8" t="s">
        <v>64</v>
      </c>
      <c r="B18" s="8">
        <v>6385</v>
      </c>
      <c r="C18" s="8">
        <v>308</v>
      </c>
      <c r="D18" s="9">
        <v>292245</v>
      </c>
      <c r="E18" s="8">
        <v>1088</v>
      </c>
    </row>
    <row r="19" spans="1:5">
      <c r="A19" s="8" t="s">
        <v>65</v>
      </c>
      <c r="B19" s="8">
        <v>506</v>
      </c>
      <c r="C19" s="8">
        <v>6</v>
      </c>
      <c r="D19" s="9">
        <v>547211</v>
      </c>
      <c r="E19" s="8">
        <v>448</v>
      </c>
    </row>
    <row r="20" spans="1:5">
      <c r="A20" s="8" t="s">
        <v>66</v>
      </c>
      <c r="B20" s="8">
        <v>814</v>
      </c>
      <c r="C20" s="8">
        <v>0</v>
      </c>
      <c r="D20" s="9">
        <v>1440</v>
      </c>
      <c r="E20" s="8">
        <v>49</v>
      </c>
    </row>
    <row r="21" spans="1:5">
      <c r="A21" s="8" t="s">
        <v>67</v>
      </c>
      <c r="B21" s="8">
        <v>319</v>
      </c>
      <c r="C21" s="8">
        <v>2</v>
      </c>
      <c r="D21" s="8">
        <v>612</v>
      </c>
      <c r="E21" s="10" t="s">
        <v>72</v>
      </c>
    </row>
    <row r="25" spans="1:5">
      <c r="A25" s="11" t="s">
        <v>73</v>
      </c>
      <c r="B25" s="6" t="s">
        <v>60</v>
      </c>
      <c r="C25" s="6" t="s">
        <v>61</v>
      </c>
      <c r="D25" s="6" t="s">
        <v>62</v>
      </c>
      <c r="E25" s="7" t="s">
        <v>63</v>
      </c>
    </row>
    <row r="26" spans="1:5">
      <c r="A26" s="8" t="s">
        <v>64</v>
      </c>
      <c r="B26" s="8">
        <v>6511</v>
      </c>
      <c r="C26" s="8">
        <v>126</v>
      </c>
      <c r="D26" s="9">
        <v>106179</v>
      </c>
      <c r="E26" s="8">
        <v>435</v>
      </c>
    </row>
    <row r="27" spans="1:5">
      <c r="A27" s="8" t="s">
        <v>65</v>
      </c>
      <c r="B27" s="8">
        <v>530</v>
      </c>
      <c r="C27" s="8">
        <v>24</v>
      </c>
      <c r="D27" s="9">
        <v>231401</v>
      </c>
      <c r="E27" s="8">
        <v>125</v>
      </c>
    </row>
    <row r="28" spans="1:5">
      <c r="A28" s="8" t="s">
        <v>66</v>
      </c>
      <c r="B28" s="8">
        <v>818</v>
      </c>
      <c r="C28" s="8">
        <v>4</v>
      </c>
      <c r="D28" s="9">
        <v>1262</v>
      </c>
      <c r="E28" s="8">
        <v>58</v>
      </c>
    </row>
    <row r="29" spans="1:5">
      <c r="A29" s="8" t="s">
        <v>67</v>
      </c>
      <c r="B29" s="8">
        <v>319</v>
      </c>
      <c r="C29" s="8">
        <v>0</v>
      </c>
      <c r="D29" s="8">
        <v>539</v>
      </c>
      <c r="E29" s="10" t="s">
        <v>74</v>
      </c>
    </row>
    <row r="33" spans="1:6">
      <c r="A33" s="17"/>
      <c r="B33" s="17"/>
      <c r="C33" s="17"/>
      <c r="D33" s="17"/>
      <c r="E33" s="17"/>
      <c r="F33" s="17"/>
    </row>
    <row r="34" spans="1:6">
      <c r="A34" s="18">
        <v>46082</v>
      </c>
      <c r="B34" s="19" t="s">
        <v>60</v>
      </c>
      <c r="C34" s="19" t="s">
        <v>61</v>
      </c>
      <c r="D34" s="19" t="s">
        <v>62</v>
      </c>
      <c r="E34" s="20" t="s">
        <v>63</v>
      </c>
      <c r="F34" s="17"/>
    </row>
    <row r="35" spans="1:6">
      <c r="A35" s="21" t="s">
        <v>64</v>
      </c>
      <c r="B35" s="21">
        <v>6843</v>
      </c>
      <c r="C35" s="21">
        <v>332</v>
      </c>
      <c r="D35" s="22">
        <v>305568</v>
      </c>
      <c r="E35" s="21">
        <v>563</v>
      </c>
      <c r="F35" s="17"/>
    </row>
    <row r="36" spans="1:6">
      <c r="A36" s="21" t="s">
        <v>65</v>
      </c>
      <c r="B36" s="21">
        <v>533</v>
      </c>
      <c r="C36" s="21">
        <v>3</v>
      </c>
      <c r="D36" s="22">
        <v>102520</v>
      </c>
      <c r="E36" s="21">
        <v>886</v>
      </c>
      <c r="F36" s="17"/>
    </row>
    <row r="37" spans="1:6">
      <c r="A37" s="21" t="s">
        <v>66</v>
      </c>
      <c r="B37" s="21">
        <v>823</v>
      </c>
      <c r="C37" s="21">
        <v>5</v>
      </c>
      <c r="D37" s="22">
        <v>1739</v>
      </c>
      <c r="E37" s="21">
        <v>76</v>
      </c>
      <c r="F37" s="17"/>
    </row>
    <row r="38" spans="1:6">
      <c r="A38" s="21" t="s">
        <v>67</v>
      </c>
      <c r="B38" s="21">
        <v>315</v>
      </c>
      <c r="C38" s="21">
        <v>-4</v>
      </c>
      <c r="D38" s="21" t="s">
        <v>28</v>
      </c>
      <c r="E38" s="21" t="s">
        <v>28</v>
      </c>
      <c r="F38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2026-02-06T10:12:55Z</dcterms:created>
  <dcterms:modified xsi:type="dcterms:W3CDTF">2026-06-29T07:47:30Z</dcterms:modified>
  <cp:category/>
  <cp:contentStatus/>
</cp:coreProperties>
</file>